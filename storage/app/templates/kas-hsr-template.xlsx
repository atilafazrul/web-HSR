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USER-\Downloads\"/>
    </mc:Choice>
  </mc:AlternateContent>
  <xr:revisionPtr revIDLastSave="0" documentId="13_ncr:1_{F131963B-E3CC-4EA8-85C2-DEF27958015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MARET 2026" sheetId="3" r:id="rId1"/>
  </sheets>
  <calcPr calcId="181029"/>
</workbook>
</file>

<file path=xl/calcChain.xml><?xml version="1.0" encoding="utf-8"?>
<calcChain xmlns="http://schemas.openxmlformats.org/spreadsheetml/2006/main">
  <c r="E139" i="3" l="1"/>
  <c r="D139" i="3"/>
  <c r="F140" i="3" s="1"/>
  <c r="F3" i="3"/>
  <c r="F4" i="3" s="1"/>
  <c r="F5" i="3" s="1"/>
  <c r="F6" i="3" s="1"/>
  <c r="F7" i="3" s="1"/>
  <c r="F8" i="3" s="1"/>
  <c r="F9" i="3" s="1"/>
  <c r="F10" i="3" s="1"/>
  <c r="F11" i="3" s="1"/>
  <c r="F12" i="3" s="1"/>
  <c r="F13" i="3" s="1"/>
  <c r="F14" i="3" s="1"/>
  <c r="F15" i="3" s="1"/>
  <c r="F16" i="3" s="1"/>
  <c r="F17" i="3" s="1"/>
  <c r="F18" i="3" s="1"/>
  <c r="F19" i="3" s="1"/>
  <c r="F20" i="3" s="1"/>
  <c r="F21" i="3" s="1"/>
  <c r="F22" i="3" s="1"/>
  <c r="F23" i="3" s="1"/>
  <c r="F24" i="3" s="1"/>
  <c r="F25" i="3" s="1"/>
  <c r="F26" i="3" s="1"/>
  <c r="F27" i="3" s="1"/>
  <c r="F28" i="3" s="1"/>
  <c r="F29" i="3" s="1"/>
  <c r="F30" i="3" s="1"/>
  <c r="F31" i="3" s="1"/>
  <c r="F32" i="3" s="1"/>
  <c r="F33" i="3" s="1"/>
  <c r="F34" i="3" s="1"/>
  <c r="F35" i="3" s="1"/>
  <c r="F36" i="3" s="1"/>
  <c r="F37" i="3" s="1"/>
  <c r="F38" i="3" s="1"/>
  <c r="F39" i="3" s="1"/>
  <c r="F40" i="3" s="1"/>
  <c r="F41" i="3" s="1"/>
  <c r="F42" i="3" s="1"/>
  <c r="F43" i="3" s="1"/>
  <c r="F44" i="3" s="1"/>
  <c r="F45" i="3" s="1"/>
  <c r="F46" i="3" s="1"/>
  <c r="F47" i="3" s="1"/>
  <c r="F48" i="3" s="1"/>
  <c r="F49" i="3" s="1"/>
  <c r="F50" i="3" s="1"/>
  <c r="F51" i="3" s="1"/>
  <c r="F52" i="3" s="1"/>
  <c r="F53" i="3" s="1"/>
  <c r="F54" i="3" s="1"/>
  <c r="F55" i="3" s="1"/>
  <c r="F56" i="3" s="1"/>
  <c r="F57" i="3" s="1"/>
  <c r="F58" i="3" s="1"/>
  <c r="F59" i="3" s="1"/>
  <c r="F60" i="3" s="1"/>
  <c r="F61" i="3" s="1"/>
  <c r="F62" i="3" s="1"/>
  <c r="F63" i="3" s="1"/>
  <c r="F64" i="3" s="1"/>
  <c r="F65" i="3" s="1"/>
  <c r="F66" i="3" s="1"/>
  <c r="F67" i="3" s="1"/>
  <c r="F68" i="3" s="1"/>
  <c r="F69" i="3" s="1"/>
  <c r="F70" i="3" s="1"/>
  <c r="F71" i="3" s="1"/>
  <c r="F72" i="3" s="1"/>
  <c r="F73" i="3" s="1"/>
  <c r="F74" i="3" s="1"/>
  <c r="F75" i="3" s="1"/>
  <c r="F76" i="3" s="1"/>
  <c r="F77" i="3" s="1"/>
  <c r="F78" i="3" s="1"/>
  <c r="F79" i="3" s="1"/>
  <c r="F80" i="3" s="1"/>
  <c r="F81" i="3" s="1"/>
  <c r="F82" i="3" s="1"/>
  <c r="F83" i="3" s="1"/>
  <c r="F84" i="3" s="1"/>
  <c r="F85" i="3" s="1"/>
  <c r="F86" i="3" s="1"/>
  <c r="F87" i="3" s="1"/>
  <c r="F88" i="3" s="1"/>
  <c r="F89" i="3" s="1"/>
  <c r="F90" i="3" s="1"/>
  <c r="F91" i="3" s="1"/>
  <c r="F92" i="3" s="1"/>
  <c r="F93" i="3" s="1"/>
  <c r="F94" i="3" s="1"/>
  <c r="F95" i="3" s="1"/>
  <c r="F96" i="3" s="1"/>
  <c r="F97" i="3" s="1"/>
  <c r="F98" i="3" s="1"/>
  <c r="F99" i="3" s="1"/>
  <c r="F100" i="3" s="1"/>
  <c r="F101" i="3" s="1"/>
  <c r="F102" i="3" s="1"/>
  <c r="F103" i="3" s="1"/>
  <c r="F104" i="3" s="1"/>
  <c r="F105" i="3" s="1"/>
  <c r="F106" i="3" s="1"/>
  <c r="F107" i="3" s="1"/>
  <c r="F108" i="3" s="1"/>
  <c r="F109" i="3" s="1"/>
  <c r="F110" i="3" s="1"/>
  <c r="F111" i="3" s="1"/>
  <c r="F112" i="3" s="1"/>
  <c r="F113" i="3" s="1"/>
  <c r="F114" i="3" s="1"/>
  <c r="F115" i="3" s="1"/>
  <c r="F116" i="3" s="1"/>
  <c r="F117" i="3" s="1"/>
  <c r="F118" i="3" s="1"/>
  <c r="F119" i="3" s="1"/>
  <c r="F120" i="3" s="1"/>
  <c r="F121" i="3" s="1"/>
  <c r="F122" i="3" s="1"/>
  <c r="F123" i="3" s="1"/>
  <c r="F124" i="3" s="1"/>
  <c r="F125" i="3" s="1"/>
  <c r="F126" i="3" s="1"/>
  <c r="F127" i="3" s="1"/>
  <c r="F128" i="3" s="1"/>
  <c r="F129" i="3" s="1"/>
  <c r="F130" i="3" s="1"/>
  <c r="F131" i="3" s="1"/>
  <c r="F132" i="3" s="1"/>
  <c r="F133" i="3" s="1"/>
  <c r="F134" i="3" s="1"/>
  <c r="F135" i="3" s="1"/>
  <c r="F136" i="3" s="1"/>
  <c r="F137" i="3" s="1"/>
  <c r="F138" i="3" s="1"/>
</calcChain>
</file>

<file path=xl/sharedStrings.xml><?xml version="1.0" encoding="utf-8"?>
<sst xmlns="http://schemas.openxmlformats.org/spreadsheetml/2006/main" count="197" uniqueCount="101">
  <si>
    <t>NO</t>
  </si>
  <si>
    <t>KETERANGAN</t>
  </si>
  <si>
    <t>DEBIT</t>
  </si>
  <si>
    <t>KREDIT</t>
  </si>
  <si>
    <t>SALDO</t>
  </si>
  <si>
    <t>STAFF</t>
  </si>
  <si>
    <t>KAS AWAL</t>
  </si>
  <si>
    <t>PENAMBAHAN UANG KAS</t>
  </si>
  <si>
    <t>DHEKA</t>
  </si>
  <si>
    <t>UANG JALAN 1 HARI</t>
  </si>
  <si>
    <t>DEKA</t>
  </si>
  <si>
    <t>UANG JALAN 2 HARI</t>
  </si>
  <si>
    <t>DAVID</t>
  </si>
  <si>
    <t>BELI BENSIN</t>
  </si>
  <si>
    <t>BELANJA FILM</t>
  </si>
  <si>
    <t>DIKI</t>
  </si>
  <si>
    <t>SALES ENTERTAIN</t>
  </si>
  <si>
    <t>SERVICE AC KANTOR</t>
  </si>
  <si>
    <t>BELANJA MATERIAL</t>
  </si>
  <si>
    <t>UANG JALAN 3 HARI</t>
  </si>
  <si>
    <t xml:space="preserve"> </t>
  </si>
  <si>
    <t>UANG JALAN 8 HARI</t>
  </si>
  <si>
    <t>KIRIM PAKET JNE</t>
  </si>
  <si>
    <t>UANG JALAN 4 HARI</t>
  </si>
  <si>
    <t>ANGGA</t>
  </si>
  <si>
    <t>MUMU</t>
  </si>
  <si>
    <t>DAFFA</t>
  </si>
  <si>
    <t>UANG JALAN 5 HARI</t>
  </si>
  <si>
    <t>UANG JALAN 6 HARI</t>
  </si>
  <si>
    <t>ATILA</t>
  </si>
  <si>
    <t>AQILA</t>
  </si>
  <si>
    <t>TOTAL</t>
  </si>
  <si>
    <t>SISA SALDO</t>
  </si>
  <si>
    <t>KAS PT HSR FEBUARI 2026</t>
  </si>
  <si>
    <t>ANGGA N</t>
  </si>
  <si>
    <t>STEAM MOBIL</t>
  </si>
  <si>
    <t>BAYAR SEWA GUDANG</t>
  </si>
  <si>
    <t>BELI MATERAI 8 PCS</t>
  </si>
  <si>
    <t>TOP UP FLAZZ</t>
  </si>
  <si>
    <t>BELANJA PAPER USG</t>
  </si>
  <si>
    <t>UANG JALAN 7 HARI + LEMBUR</t>
  </si>
  <si>
    <t>KOPEK</t>
  </si>
  <si>
    <t>NANDA</t>
  </si>
  <si>
    <t>BAYAR MAKAN BULANAN KARYAWAN</t>
  </si>
  <si>
    <t>BELANJA SEMEN 2 SAK</t>
  </si>
  <si>
    <t>SERVICE MOBIL GRAND MAX</t>
  </si>
  <si>
    <t>BIAYA OPERASIONAL JOGJA</t>
  </si>
  <si>
    <t>BENSIN KE KEDIRI</t>
  </si>
  <si>
    <t>BELI BENSIN SOLAR</t>
  </si>
  <si>
    <t>TIKET PESAWAT MEDAN</t>
  </si>
  <si>
    <t>BELANJA ALDERON</t>
  </si>
  <si>
    <t>BELANJA LIST STAINLEES</t>
  </si>
  <si>
    <t>BELANJA BARIUM</t>
  </si>
  <si>
    <t>BELANJA TINER</t>
  </si>
  <si>
    <t>BELANJA HEXIOL</t>
  </si>
  <si>
    <t>BELANJA KASET PUJI</t>
  </si>
  <si>
    <t>BELANJA KOPI 1 DUS</t>
  </si>
  <si>
    <t>HADIAH PULSA MKS</t>
  </si>
  <si>
    <t>BELANJA LEM DAN AMPLAS</t>
  </si>
  <si>
    <t>BELI PK3</t>
  </si>
  <si>
    <t>BAYAR ONGKIR GOJEK</t>
  </si>
  <si>
    <t>TIKET KERETA COMMUTERLINE</t>
  </si>
  <si>
    <t>BAYAR ONGKOS GRAB</t>
  </si>
  <si>
    <t>BAYAR PARKIR</t>
  </si>
  <si>
    <t>TIKET PESAWAT MEDAN TO NIAS</t>
  </si>
  <si>
    <t>BELI THERMO METER</t>
  </si>
  <si>
    <t>BIAYA OPERASIONAL MAGELANG</t>
  </si>
  <si>
    <t>TIKET PESAWAT NIAS</t>
  </si>
  <si>
    <t>BAYAR KANOVI KANTOR</t>
  </si>
  <si>
    <t>UANG JALAN 12 HARI LUAR KOTA</t>
  </si>
  <si>
    <t>BIAYA OPERASIONAL MEDAN - NIAS</t>
  </si>
  <si>
    <t>OPERASIONAL SIPIL</t>
  </si>
  <si>
    <t>UANG JALAN 7 HARI LUAR KOTA</t>
  </si>
  <si>
    <t>BIAYA OPERASIONAL BEKASI</t>
  </si>
  <si>
    <t>SERTIFIKAT ISO</t>
  </si>
  <si>
    <t>CANVA PREMIUM</t>
  </si>
  <si>
    <t>UANG LINGKUNGAN (THR)</t>
  </si>
  <si>
    <t>BELANJA PARCEL THR</t>
  </si>
  <si>
    <t>BAYAR E-TOLL</t>
  </si>
  <si>
    <t>BIAYA OPERASIONAL KIRIM PARCEL</t>
  </si>
  <si>
    <t>YONANDA</t>
  </si>
  <si>
    <t>GANTI OLI POWERSTEERING</t>
  </si>
  <si>
    <t>BIAYA OPERASIONAL</t>
  </si>
  <si>
    <t>BIAYA OPERASIONAL JAKARTA</t>
  </si>
  <si>
    <t>UANG JALAN  2 HARI</t>
  </si>
  <si>
    <t>BIAYA OPERASIONAL KE AIRONDO</t>
  </si>
  <si>
    <t>BAYAR PAKET KJU</t>
  </si>
  <si>
    <t>BIAYA PASANG CCTV</t>
  </si>
  <si>
    <t>BELANJA HDD</t>
  </si>
  <si>
    <t>BAIAYA OPERASIONAL KEDIRI</t>
  </si>
  <si>
    <t>BIAYA KEGIATAN TRAINING</t>
  </si>
  <si>
    <t>SERVICE MOBIL OPERASIONAL</t>
  </si>
  <si>
    <t>BELANJA KASET</t>
  </si>
  <si>
    <t>BELANJA GEL USG</t>
  </si>
  <si>
    <t>BIAYA OPERASIONAL TUKANG</t>
  </si>
  <si>
    <t>BIAYA OPERASIONAL BELANJA DINAMO</t>
  </si>
  <si>
    <t>UANG JALAN 1 HARI LUAR KOTA</t>
  </si>
  <si>
    <t>BIAYA OPERASIONAL TIM IT</t>
  </si>
  <si>
    <t>BIAYA PELATIHAN K3</t>
  </si>
  <si>
    <t>BELANJA SERVER</t>
  </si>
  <si>
    <t>PRINT GAMBAR A3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</si>
</sst>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Rp-421]#,##0"/>
    <numFmt numFmtId="165" formatCode="&quot;Rp&quot;#,##0"/>
    <numFmt numFmtId="166" formatCode="[$Rp-421]#,##0.00"/>
  </numFmts>
  <fonts count="5" x14ac:knownFonts="1">
    <font>
      <sz val="10"/>
      <color rgb="FF000000"/>
      <name val="Arial"/>
      <scheme val="minor"/>
    </font>
    <font>
      <b/>
      <sz val="10"/>
      <color theme="1"/>
      <name val="Arial"/>
    </font>
    <font>
      <sz val="10"/>
      <name val="Arial"/>
    </font>
    <font>
      <sz val="10"/>
      <color theme="1"/>
      <name val="Arial"/>
    </font>
    <font>
      <sz val="10"/>
      <color theme="1"/>
      <name val="Arial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00FFFF"/>
        <bgColor rgb="FF00FFFF"/>
      </patternFill>
    </fill>
    <fill>
      <patternFill patternType="solid">
        <fgColor rgb="FF00FF00"/>
        <bgColor rgb="FF00FF00"/>
      </patternFill>
    </fill>
    <fill>
      <patternFill patternType="solid">
        <fgColor rgb="FFFFFFFF"/>
        <bgColor rgb="FFFFFFFF"/>
      </patternFill>
    </fill>
  </fills>
  <borders count="7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3" borderId="4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14" fontId="3" fillId="0" borderId="4" xfId="0" applyNumberFormat="1" applyFont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164" fontId="3" fillId="4" borderId="4" xfId="0" applyNumberFormat="1" applyFont="1" applyFill="1" applyBorder="1" applyAlignment="1">
      <alignment horizontal="center" vertical="center"/>
    </xf>
    <xf numFmtId="165" fontId="3" fillId="5" borderId="4" xfId="0" applyNumberFormat="1" applyFont="1" applyFill="1" applyBorder="1" applyAlignment="1">
      <alignment horizontal="center" vertical="center"/>
    </xf>
    <xf numFmtId="0" fontId="1" fillId="5" borderId="5" xfId="0" applyFont="1" applyFill="1" applyBorder="1" applyAlignment="1">
      <alignment horizontal="center" vertical="center"/>
    </xf>
    <xf numFmtId="165" fontId="3" fillId="4" borderId="4" xfId="0" applyNumberFormat="1" applyFont="1" applyFill="1" applyBorder="1" applyAlignment="1">
      <alignment horizontal="center" vertical="center"/>
    </xf>
    <xf numFmtId="0" fontId="3" fillId="5" borderId="4" xfId="0" applyFont="1" applyFill="1" applyBorder="1" applyAlignment="1">
      <alignment horizontal="center" vertical="center"/>
    </xf>
    <xf numFmtId="164" fontId="4" fillId="5" borderId="4" xfId="0" applyNumberFormat="1" applyFont="1" applyFill="1" applyBorder="1" applyAlignment="1">
      <alignment horizontal="center" vertical="center"/>
    </xf>
    <xf numFmtId="164" fontId="3" fillId="5" borderId="4" xfId="0" applyNumberFormat="1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165" fontId="3" fillId="3" borderId="4" xfId="0" applyNumberFormat="1" applyFont="1" applyFill="1" applyBorder="1" applyAlignment="1">
      <alignment horizontal="center" vertical="center"/>
    </xf>
    <xf numFmtId="0" fontId="4" fillId="0" borderId="0" xfId="0" applyFont="1"/>
    <xf numFmtId="164" fontId="3" fillId="3" borderId="4" xfId="0" applyNumberFormat="1" applyFont="1" applyFill="1" applyBorder="1" applyAlignment="1">
      <alignment horizontal="center" vertical="center"/>
    </xf>
    <xf numFmtId="166" fontId="3" fillId="5" borderId="4" xfId="0" applyNumberFormat="1" applyFont="1" applyFill="1" applyBorder="1" applyAlignment="1">
      <alignment horizontal="center" vertical="center"/>
    </xf>
    <xf numFmtId="166" fontId="3" fillId="3" borderId="4" xfId="0" applyNumberFormat="1" applyFont="1" applyFill="1" applyBorder="1" applyAlignment="1">
      <alignment horizontal="center" vertical="center"/>
    </xf>
    <xf numFmtId="0" fontId="4" fillId="5" borderId="4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165" fontId="1" fillId="0" borderId="4" xfId="0" applyNumberFormat="1" applyFont="1" applyBorder="1" applyAlignment="1">
      <alignment horizontal="center" vertical="center"/>
    </xf>
    <xf numFmtId="0" fontId="1" fillId="5" borderId="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/>
    <xf numFmtId="0" fontId="2" fillId="0" borderId="3" xfId="0" applyFont="1" applyBorder="1"/>
    <xf numFmtId="0" fontId="2" fillId="0" borderId="6" xfId="0" applyFont="1" applyBorder="1"/>
    <xf numFmtId="0" fontId="1" fillId="5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  <pageSetUpPr fitToPage="1"/>
  </sheetPr>
  <dimension ref="A1:L140"/>
  <sheetViews>
    <sheetView tabSelected="1" topLeftCell="A108" workbookViewId="0">
      <selection activeCell="K128" sqref="K128"/>
    </sheetView>
  </sheetViews>
  <sheetFormatPr defaultColWidth="12.5703125" defaultRowHeight="15.75" customHeight="1" x14ac:dyDescent="0.2"/>
  <cols>
    <col min="1" max="1" width="4" bestFit="1" customWidth="1"/>
    <col min="2" max="2" width="8.140625" bestFit="1" customWidth="1"/>
    <col min="3" max="3" width="38.140625" bestFit="1" customWidth="1"/>
    <col min="4" max="4" width="13.7109375" bestFit="1" customWidth="1"/>
    <col min="5" max="5" width="13.7109375" customWidth="1"/>
    <col min="6" max="6" width="13.5703125" bestFit="1" customWidth="1"/>
  </cols>
  <sheetData>
    <row r="1" spans="1:7" x14ac:dyDescent="0.2">
      <c r="A1" s="23" t="s">
        <v>33</v>
      </c>
      <c r="B1" s="24"/>
      <c r="C1" s="24"/>
      <c r="D1" s="24"/>
      <c r="E1" s="24"/>
      <c r="F1" s="24"/>
      <c r="G1" s="25"/>
    </row>
    <row r="2" spans="1:7" x14ac:dyDescent="0.2">
      <c r="A2" s="1" t="s">
        <v>0</v>
      </c>
      <c r="B2" s="1"/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</row>
    <row r="3" spans="1:7" x14ac:dyDescent="0.2">
      <c r="A3" s="2">
        <v>1</v>
      </c>
      <c r="B3" s="3">
        <v>46082</v>
      </c>
      <c r="C3" s="4" t="s">
        <v>6</v>
      </c>
      <c r="D3" s="5">
        <v>12679325</v>
      </c>
      <c r="E3" s="5"/>
      <c r="F3" s="6">
        <f>D3</f>
        <v>12679325</v>
      </c>
      <c r="G3" s="7"/>
    </row>
    <row r="4" spans="1:7" x14ac:dyDescent="0.2">
      <c r="A4" s="2">
        <v>2</v>
      </c>
      <c r="B4" s="3">
        <v>46084</v>
      </c>
      <c r="C4" s="4" t="s">
        <v>7</v>
      </c>
      <c r="D4" s="8">
        <v>100000000</v>
      </c>
      <c r="E4" s="8"/>
      <c r="F4" s="6">
        <f t="shared" ref="F4:F138" si="0">F3+D4-E4</f>
        <v>112679325</v>
      </c>
      <c r="G4" s="7"/>
    </row>
    <row r="5" spans="1:7" x14ac:dyDescent="0.2">
      <c r="A5" s="2">
        <v>3</v>
      </c>
      <c r="B5" s="3">
        <v>46085</v>
      </c>
      <c r="C5" s="9" t="s">
        <v>9</v>
      </c>
      <c r="D5" s="10"/>
      <c r="E5" s="11">
        <v>100000</v>
      </c>
      <c r="F5" s="6">
        <f t="shared" si="0"/>
        <v>112579325</v>
      </c>
      <c r="G5" s="7" t="s">
        <v>8</v>
      </c>
    </row>
    <row r="6" spans="1:7" x14ac:dyDescent="0.2">
      <c r="A6" s="2">
        <v>4</v>
      </c>
      <c r="B6" s="3">
        <v>46085</v>
      </c>
      <c r="C6" s="9" t="s">
        <v>44</v>
      </c>
      <c r="D6" s="6"/>
      <c r="E6" s="6">
        <v>154000</v>
      </c>
      <c r="F6" s="6">
        <f t="shared" si="0"/>
        <v>112425325</v>
      </c>
      <c r="G6" s="7" t="s">
        <v>26</v>
      </c>
    </row>
    <row r="7" spans="1:7" x14ac:dyDescent="0.2">
      <c r="A7" s="2">
        <v>5</v>
      </c>
      <c r="B7" s="3">
        <v>46085</v>
      </c>
      <c r="C7" s="9" t="s">
        <v>45</v>
      </c>
      <c r="D7" s="6"/>
      <c r="E7" s="6">
        <v>11608000</v>
      </c>
      <c r="F7" s="6">
        <f t="shared" si="0"/>
        <v>100817325</v>
      </c>
      <c r="G7" s="27" t="s">
        <v>15</v>
      </c>
    </row>
    <row r="8" spans="1:7" x14ac:dyDescent="0.2">
      <c r="A8" s="2">
        <v>6</v>
      </c>
      <c r="B8" s="3">
        <v>46085</v>
      </c>
      <c r="C8" s="9" t="s">
        <v>46</v>
      </c>
      <c r="D8" s="6"/>
      <c r="E8" s="6">
        <v>5000000</v>
      </c>
      <c r="F8" s="6">
        <f t="shared" si="0"/>
        <v>95817325</v>
      </c>
      <c r="G8" s="26"/>
    </row>
    <row r="9" spans="1:7" x14ac:dyDescent="0.2">
      <c r="A9" s="2">
        <v>7</v>
      </c>
      <c r="B9" s="3">
        <v>46085</v>
      </c>
      <c r="C9" s="9" t="s">
        <v>16</v>
      </c>
      <c r="D9" s="6"/>
      <c r="E9" s="6">
        <v>1324300</v>
      </c>
      <c r="F9" s="6">
        <f t="shared" si="0"/>
        <v>94493025</v>
      </c>
      <c r="G9" s="26"/>
    </row>
    <row r="10" spans="1:7" x14ac:dyDescent="0.2">
      <c r="A10" s="2">
        <v>8</v>
      </c>
      <c r="B10" s="3">
        <v>46085</v>
      </c>
      <c r="C10" s="9" t="s">
        <v>47</v>
      </c>
      <c r="D10" s="6"/>
      <c r="E10" s="6">
        <v>1340093</v>
      </c>
      <c r="F10" s="6">
        <f t="shared" si="0"/>
        <v>93152932</v>
      </c>
      <c r="G10" s="26"/>
    </row>
    <row r="11" spans="1:7" x14ac:dyDescent="0.2">
      <c r="A11" s="2">
        <v>9</v>
      </c>
      <c r="B11" s="3">
        <v>46085</v>
      </c>
      <c r="C11" s="9" t="s">
        <v>38</v>
      </c>
      <c r="D11" s="6"/>
      <c r="E11" s="6">
        <v>500000</v>
      </c>
      <c r="F11" s="6">
        <f t="shared" si="0"/>
        <v>92652932</v>
      </c>
      <c r="G11" s="26"/>
    </row>
    <row r="12" spans="1:7" x14ac:dyDescent="0.2">
      <c r="A12" s="2">
        <v>10</v>
      </c>
      <c r="B12" s="3">
        <v>46085</v>
      </c>
      <c r="C12" s="9" t="s">
        <v>48</v>
      </c>
      <c r="D12" s="6"/>
      <c r="E12" s="6">
        <v>500000</v>
      </c>
      <c r="F12" s="6">
        <f t="shared" si="0"/>
        <v>92152932</v>
      </c>
      <c r="G12" s="26"/>
    </row>
    <row r="13" spans="1:7" x14ac:dyDescent="0.2">
      <c r="A13" s="2">
        <v>11</v>
      </c>
      <c r="B13" s="3">
        <v>46085</v>
      </c>
      <c r="C13" s="9" t="s">
        <v>49</v>
      </c>
      <c r="D13" s="6"/>
      <c r="E13" s="6">
        <v>7821000</v>
      </c>
      <c r="F13" s="6">
        <f t="shared" si="0"/>
        <v>84331932</v>
      </c>
      <c r="G13" s="26"/>
    </row>
    <row r="14" spans="1:7" x14ac:dyDescent="0.2">
      <c r="A14" s="2">
        <v>12</v>
      </c>
      <c r="B14" s="3">
        <v>46085</v>
      </c>
      <c r="C14" s="12" t="s">
        <v>50</v>
      </c>
      <c r="D14" s="13"/>
      <c r="E14" s="13">
        <v>18275000</v>
      </c>
      <c r="F14" s="6">
        <f t="shared" si="0"/>
        <v>66056932</v>
      </c>
      <c r="G14" s="26"/>
    </row>
    <row r="15" spans="1:7" x14ac:dyDescent="0.2">
      <c r="A15" s="2">
        <v>13</v>
      </c>
      <c r="B15" s="3">
        <v>46085</v>
      </c>
      <c r="C15" s="9" t="s">
        <v>22</v>
      </c>
      <c r="D15" s="6"/>
      <c r="E15" s="6">
        <v>209000</v>
      </c>
      <c r="F15" s="6">
        <f t="shared" si="0"/>
        <v>65847932</v>
      </c>
      <c r="G15" s="26"/>
    </row>
    <row r="16" spans="1:7" x14ac:dyDescent="0.2">
      <c r="A16" s="2">
        <v>14</v>
      </c>
      <c r="B16" s="3">
        <v>46085</v>
      </c>
      <c r="C16" s="9" t="s">
        <v>51</v>
      </c>
      <c r="D16" s="6"/>
      <c r="E16" s="6">
        <v>130000</v>
      </c>
      <c r="F16" s="6">
        <f t="shared" si="0"/>
        <v>65717932</v>
      </c>
      <c r="G16" s="26"/>
    </row>
    <row r="17" spans="1:12" x14ac:dyDescent="0.2">
      <c r="A17" s="2">
        <v>15</v>
      </c>
      <c r="B17" s="3">
        <v>46085</v>
      </c>
      <c r="C17" s="12" t="s">
        <v>52</v>
      </c>
      <c r="D17" s="13"/>
      <c r="E17" s="13">
        <v>1639000</v>
      </c>
      <c r="F17" s="6">
        <f t="shared" si="0"/>
        <v>64078932</v>
      </c>
      <c r="G17" s="26"/>
    </row>
    <row r="18" spans="1:12" x14ac:dyDescent="0.2">
      <c r="A18" s="2">
        <v>16</v>
      </c>
      <c r="B18" s="3">
        <v>46085</v>
      </c>
      <c r="C18" s="12" t="s">
        <v>14</v>
      </c>
      <c r="D18" s="13"/>
      <c r="E18" s="13">
        <v>11950000</v>
      </c>
      <c r="F18" s="6">
        <f t="shared" si="0"/>
        <v>52128932</v>
      </c>
      <c r="G18" s="26"/>
    </row>
    <row r="19" spans="1:12" x14ac:dyDescent="0.2">
      <c r="A19" s="2">
        <v>17</v>
      </c>
      <c r="B19" s="3">
        <v>46085</v>
      </c>
      <c r="C19" s="9" t="s">
        <v>53</v>
      </c>
      <c r="D19" s="6"/>
      <c r="E19" s="6">
        <v>200000</v>
      </c>
      <c r="F19" s="6">
        <f t="shared" si="0"/>
        <v>51928932</v>
      </c>
      <c r="G19" s="26"/>
    </row>
    <row r="20" spans="1:12" x14ac:dyDescent="0.2">
      <c r="A20" s="2">
        <v>18</v>
      </c>
      <c r="B20" s="3">
        <v>46086</v>
      </c>
      <c r="C20" s="9" t="s">
        <v>28</v>
      </c>
      <c r="D20" s="6"/>
      <c r="E20" s="6">
        <v>600000</v>
      </c>
      <c r="F20" s="6">
        <f t="shared" si="0"/>
        <v>51328932</v>
      </c>
      <c r="G20" s="7" t="s">
        <v>41</v>
      </c>
    </row>
    <row r="21" spans="1:12" x14ac:dyDescent="0.2">
      <c r="A21" s="2">
        <v>19</v>
      </c>
      <c r="B21" s="3">
        <v>46086</v>
      </c>
      <c r="C21" s="12" t="s">
        <v>54</v>
      </c>
      <c r="D21" s="13"/>
      <c r="E21" s="13">
        <v>1050000</v>
      </c>
      <c r="F21" s="6">
        <f t="shared" si="0"/>
        <v>50278932</v>
      </c>
      <c r="G21" s="27" t="s">
        <v>15</v>
      </c>
    </row>
    <row r="22" spans="1:12" x14ac:dyDescent="0.2">
      <c r="A22" s="2">
        <v>20</v>
      </c>
      <c r="B22" s="3">
        <v>46086</v>
      </c>
      <c r="C22" s="9" t="s">
        <v>55</v>
      </c>
      <c r="D22" s="6"/>
      <c r="E22" s="6">
        <v>5500000</v>
      </c>
      <c r="F22" s="6">
        <f t="shared" si="0"/>
        <v>44778932</v>
      </c>
      <c r="G22" s="26"/>
    </row>
    <row r="23" spans="1:12" x14ac:dyDescent="0.2">
      <c r="A23" s="2">
        <v>21</v>
      </c>
      <c r="B23" s="3">
        <v>46086</v>
      </c>
      <c r="C23" s="9" t="s">
        <v>17</v>
      </c>
      <c r="D23" s="6"/>
      <c r="E23" s="6">
        <v>1997000</v>
      </c>
      <c r="F23" s="6">
        <f t="shared" si="0"/>
        <v>42781932</v>
      </c>
      <c r="G23" s="26"/>
    </row>
    <row r="24" spans="1:12" x14ac:dyDescent="0.2">
      <c r="A24" s="2">
        <v>22</v>
      </c>
      <c r="B24" s="3">
        <v>46086</v>
      </c>
      <c r="C24" s="9" t="s">
        <v>22</v>
      </c>
      <c r="D24" s="6"/>
      <c r="E24" s="6">
        <v>60000</v>
      </c>
      <c r="F24" s="6">
        <f t="shared" si="0"/>
        <v>42721932</v>
      </c>
      <c r="G24" s="26"/>
    </row>
    <row r="25" spans="1:12" x14ac:dyDescent="0.2">
      <c r="A25" s="2">
        <v>23</v>
      </c>
      <c r="B25" s="3">
        <v>46087</v>
      </c>
      <c r="C25" s="9" t="s">
        <v>56</v>
      </c>
      <c r="D25" s="6"/>
      <c r="E25" s="6">
        <v>200000</v>
      </c>
      <c r="F25" s="6">
        <f t="shared" si="0"/>
        <v>42521932</v>
      </c>
      <c r="G25" s="27" t="s">
        <v>26</v>
      </c>
    </row>
    <row r="26" spans="1:12" x14ac:dyDescent="0.2">
      <c r="A26" s="2">
        <v>24</v>
      </c>
      <c r="B26" s="3">
        <v>46087</v>
      </c>
      <c r="C26" s="9" t="s">
        <v>57</v>
      </c>
      <c r="D26" s="6"/>
      <c r="E26" s="6">
        <v>40000</v>
      </c>
      <c r="F26" s="6">
        <f t="shared" si="0"/>
        <v>42481932</v>
      </c>
      <c r="G26" s="26"/>
    </row>
    <row r="27" spans="1:12" x14ac:dyDescent="0.2">
      <c r="A27" s="2">
        <v>25</v>
      </c>
      <c r="B27" s="3">
        <v>46087</v>
      </c>
      <c r="C27" s="9" t="s">
        <v>19</v>
      </c>
      <c r="D27" s="6"/>
      <c r="E27" s="6">
        <v>300000</v>
      </c>
      <c r="F27" s="6">
        <f t="shared" si="0"/>
        <v>42181932</v>
      </c>
      <c r="G27" s="26"/>
    </row>
    <row r="28" spans="1:12" x14ac:dyDescent="0.2">
      <c r="A28" s="2">
        <v>26</v>
      </c>
      <c r="B28" s="3">
        <v>46087</v>
      </c>
      <c r="C28" s="9" t="s">
        <v>19</v>
      </c>
      <c r="D28" s="6"/>
      <c r="E28" s="6">
        <v>300000</v>
      </c>
      <c r="F28" s="6">
        <f t="shared" si="0"/>
        <v>41881932</v>
      </c>
      <c r="G28" s="7" t="s">
        <v>30</v>
      </c>
    </row>
    <row r="29" spans="1:12" x14ac:dyDescent="0.2">
      <c r="A29" s="2">
        <v>27</v>
      </c>
      <c r="B29" s="3">
        <v>46087</v>
      </c>
      <c r="C29" s="9" t="s">
        <v>19</v>
      </c>
      <c r="D29" s="6"/>
      <c r="E29" s="6">
        <v>300000</v>
      </c>
      <c r="F29" s="6">
        <f t="shared" si="0"/>
        <v>41581932</v>
      </c>
      <c r="G29" s="7" t="s">
        <v>29</v>
      </c>
    </row>
    <row r="30" spans="1:12" x14ac:dyDescent="0.2">
      <c r="A30" s="2">
        <v>28</v>
      </c>
      <c r="B30" s="3">
        <v>46087</v>
      </c>
      <c r="C30" s="9" t="s">
        <v>58</v>
      </c>
      <c r="D30" s="6"/>
      <c r="E30" s="6">
        <v>100000</v>
      </c>
      <c r="F30" s="6">
        <f t="shared" si="0"/>
        <v>41481932</v>
      </c>
      <c r="G30" s="7" t="s">
        <v>42</v>
      </c>
      <c r="L30" s="14" t="s">
        <v>20</v>
      </c>
    </row>
    <row r="31" spans="1:12" x14ac:dyDescent="0.2">
      <c r="A31" s="2">
        <v>29</v>
      </c>
      <c r="B31" s="3">
        <v>46087</v>
      </c>
      <c r="C31" s="9" t="s">
        <v>16</v>
      </c>
      <c r="D31" s="6"/>
      <c r="E31" s="6">
        <v>261000</v>
      </c>
      <c r="F31" s="6">
        <f t="shared" si="0"/>
        <v>41220932</v>
      </c>
      <c r="G31" s="27" t="s">
        <v>15</v>
      </c>
    </row>
    <row r="32" spans="1:12" x14ac:dyDescent="0.2">
      <c r="A32" s="2">
        <v>30</v>
      </c>
      <c r="B32" s="3">
        <v>46087</v>
      </c>
      <c r="C32" s="9" t="s">
        <v>28</v>
      </c>
      <c r="D32" s="6"/>
      <c r="E32" s="6">
        <v>700000</v>
      </c>
      <c r="F32" s="6">
        <f t="shared" si="0"/>
        <v>40520932</v>
      </c>
      <c r="G32" s="26"/>
    </row>
    <row r="33" spans="1:7" x14ac:dyDescent="0.2">
      <c r="A33" s="2">
        <v>31</v>
      </c>
      <c r="B33" s="3">
        <v>46087</v>
      </c>
      <c r="C33" s="9" t="s">
        <v>22</v>
      </c>
      <c r="D33" s="6"/>
      <c r="E33" s="6">
        <v>20000</v>
      </c>
      <c r="F33" s="6">
        <f t="shared" si="0"/>
        <v>40500932</v>
      </c>
      <c r="G33" s="26"/>
    </row>
    <row r="34" spans="1:7" x14ac:dyDescent="0.2">
      <c r="A34" s="2">
        <v>32</v>
      </c>
      <c r="B34" s="3">
        <v>46087</v>
      </c>
      <c r="C34" s="9" t="s">
        <v>9</v>
      </c>
      <c r="D34" s="6"/>
      <c r="E34" s="6">
        <v>100000</v>
      </c>
      <c r="F34" s="6">
        <f t="shared" si="0"/>
        <v>40400932</v>
      </c>
      <c r="G34" s="7" t="s">
        <v>41</v>
      </c>
    </row>
    <row r="35" spans="1:7" x14ac:dyDescent="0.2">
      <c r="A35" s="2">
        <v>33</v>
      </c>
      <c r="B35" s="3">
        <v>46088</v>
      </c>
      <c r="C35" s="9" t="s">
        <v>40</v>
      </c>
      <c r="D35" s="6"/>
      <c r="E35" s="6">
        <v>900000</v>
      </c>
      <c r="F35" s="6">
        <f t="shared" si="0"/>
        <v>39500932</v>
      </c>
      <c r="G35" s="27" t="s">
        <v>42</v>
      </c>
    </row>
    <row r="36" spans="1:7" x14ac:dyDescent="0.2">
      <c r="A36" s="2">
        <v>34</v>
      </c>
      <c r="B36" s="3">
        <v>46088</v>
      </c>
      <c r="C36" s="9" t="s">
        <v>13</v>
      </c>
      <c r="D36" s="6"/>
      <c r="E36" s="6">
        <v>100000</v>
      </c>
      <c r="F36" s="6">
        <f t="shared" si="0"/>
        <v>39400932</v>
      </c>
      <c r="G36" s="26"/>
    </row>
    <row r="37" spans="1:7" x14ac:dyDescent="0.2">
      <c r="A37" s="2">
        <v>35</v>
      </c>
      <c r="B37" s="3">
        <v>46088</v>
      </c>
      <c r="C37" s="9" t="s">
        <v>9</v>
      </c>
      <c r="D37" s="6"/>
      <c r="E37" s="6">
        <v>100000</v>
      </c>
      <c r="F37" s="6">
        <f t="shared" si="0"/>
        <v>39300932</v>
      </c>
      <c r="G37" s="7" t="s">
        <v>8</v>
      </c>
    </row>
    <row r="38" spans="1:7" x14ac:dyDescent="0.2">
      <c r="A38" s="2">
        <v>36</v>
      </c>
      <c r="B38" s="3">
        <v>46089</v>
      </c>
      <c r="C38" s="4" t="s">
        <v>7</v>
      </c>
      <c r="D38" s="8">
        <v>200000000</v>
      </c>
      <c r="E38" s="8"/>
      <c r="F38" s="6">
        <f t="shared" si="0"/>
        <v>239300932</v>
      </c>
      <c r="G38" s="7"/>
    </row>
    <row r="39" spans="1:7" x14ac:dyDescent="0.2">
      <c r="A39" s="2">
        <v>37</v>
      </c>
      <c r="B39" s="3">
        <v>46092</v>
      </c>
      <c r="C39" s="9" t="s">
        <v>59</v>
      </c>
      <c r="D39" s="6"/>
      <c r="E39" s="6">
        <v>143000</v>
      </c>
      <c r="F39" s="6">
        <f t="shared" si="0"/>
        <v>239157932</v>
      </c>
      <c r="G39" s="27" t="s">
        <v>15</v>
      </c>
    </row>
    <row r="40" spans="1:7" x14ac:dyDescent="0.2">
      <c r="A40" s="2">
        <v>38</v>
      </c>
      <c r="B40" s="3">
        <v>46092</v>
      </c>
      <c r="C40" s="9" t="s">
        <v>60</v>
      </c>
      <c r="D40" s="6"/>
      <c r="E40" s="6">
        <v>9000</v>
      </c>
      <c r="F40" s="6">
        <f t="shared" si="0"/>
        <v>239148932</v>
      </c>
      <c r="G40" s="26"/>
    </row>
    <row r="41" spans="1:7" x14ac:dyDescent="0.2">
      <c r="A41" s="2">
        <v>39</v>
      </c>
      <c r="B41" s="3">
        <v>46092</v>
      </c>
      <c r="C41" s="9" t="s">
        <v>22</v>
      </c>
      <c r="D41" s="6"/>
      <c r="E41" s="11">
        <v>94000</v>
      </c>
      <c r="F41" s="6">
        <f t="shared" si="0"/>
        <v>239054932</v>
      </c>
      <c r="G41" s="26"/>
    </row>
    <row r="42" spans="1:7" x14ac:dyDescent="0.2">
      <c r="A42" s="2">
        <v>40</v>
      </c>
      <c r="B42" s="3">
        <v>46092</v>
      </c>
      <c r="C42" s="9" t="s">
        <v>61</v>
      </c>
      <c r="D42" s="6"/>
      <c r="E42" s="11">
        <v>12000</v>
      </c>
      <c r="F42" s="6">
        <f t="shared" si="0"/>
        <v>239042932</v>
      </c>
      <c r="G42" s="26"/>
    </row>
    <row r="43" spans="1:7" x14ac:dyDescent="0.2">
      <c r="A43" s="2">
        <v>41</v>
      </c>
      <c r="B43" s="3">
        <v>46092</v>
      </c>
      <c r="C43" s="9" t="s">
        <v>62</v>
      </c>
      <c r="D43" s="6"/>
      <c r="E43" s="11">
        <v>54000</v>
      </c>
      <c r="F43" s="6">
        <f t="shared" si="0"/>
        <v>238988932</v>
      </c>
      <c r="G43" s="26"/>
    </row>
    <row r="44" spans="1:7" x14ac:dyDescent="0.2">
      <c r="A44" s="2">
        <v>42</v>
      </c>
      <c r="B44" s="3">
        <v>46092</v>
      </c>
      <c r="C44" s="9" t="s">
        <v>13</v>
      </c>
      <c r="D44" s="6"/>
      <c r="E44" s="11">
        <v>95000</v>
      </c>
      <c r="F44" s="6">
        <f t="shared" si="0"/>
        <v>238893932</v>
      </c>
      <c r="G44" s="26"/>
    </row>
    <row r="45" spans="1:7" x14ac:dyDescent="0.2">
      <c r="A45" s="2">
        <v>43</v>
      </c>
      <c r="B45" s="3">
        <v>46092</v>
      </c>
      <c r="C45" s="9" t="s">
        <v>63</v>
      </c>
      <c r="D45" s="6"/>
      <c r="E45" s="11">
        <v>10000</v>
      </c>
      <c r="F45" s="6">
        <f t="shared" si="0"/>
        <v>238883932</v>
      </c>
      <c r="G45" s="26"/>
    </row>
    <row r="46" spans="1:7" x14ac:dyDescent="0.2">
      <c r="A46" s="2">
        <v>44</v>
      </c>
      <c r="B46" s="3">
        <v>46092</v>
      </c>
      <c r="C46" s="9" t="s">
        <v>64</v>
      </c>
      <c r="D46" s="6"/>
      <c r="E46" s="11">
        <v>6305400</v>
      </c>
      <c r="F46" s="6">
        <f t="shared" si="0"/>
        <v>232578532</v>
      </c>
      <c r="G46" s="26"/>
    </row>
    <row r="47" spans="1:7" x14ac:dyDescent="0.2">
      <c r="A47" s="2">
        <v>45</v>
      </c>
      <c r="B47" s="3">
        <v>46092</v>
      </c>
      <c r="C47" s="9" t="s">
        <v>36</v>
      </c>
      <c r="D47" s="6"/>
      <c r="E47" s="11">
        <v>1700000</v>
      </c>
      <c r="F47" s="6">
        <f t="shared" si="0"/>
        <v>230878532</v>
      </c>
      <c r="G47" s="26"/>
    </row>
    <row r="48" spans="1:7" x14ac:dyDescent="0.2">
      <c r="A48" s="2">
        <v>46</v>
      </c>
      <c r="B48" s="3">
        <v>46092</v>
      </c>
      <c r="C48" s="9" t="s">
        <v>18</v>
      </c>
      <c r="D48" s="6"/>
      <c r="E48" s="11">
        <v>4213000</v>
      </c>
      <c r="F48" s="6">
        <f t="shared" si="0"/>
        <v>226665532</v>
      </c>
      <c r="G48" s="26"/>
    </row>
    <row r="49" spans="1:7" x14ac:dyDescent="0.2">
      <c r="A49" s="2">
        <v>47</v>
      </c>
      <c r="B49" s="3">
        <v>46092</v>
      </c>
      <c r="C49" s="9" t="s">
        <v>16</v>
      </c>
      <c r="D49" s="6"/>
      <c r="E49" s="11">
        <v>175000</v>
      </c>
      <c r="F49" s="6">
        <f t="shared" si="0"/>
        <v>226490532</v>
      </c>
      <c r="G49" s="26"/>
    </row>
    <row r="50" spans="1:7" x14ac:dyDescent="0.2">
      <c r="A50" s="2">
        <v>48</v>
      </c>
      <c r="B50" s="3">
        <v>46092</v>
      </c>
      <c r="C50" s="9" t="s">
        <v>22</v>
      </c>
      <c r="D50" s="6"/>
      <c r="E50" s="11">
        <v>6819500</v>
      </c>
      <c r="F50" s="6">
        <f t="shared" si="0"/>
        <v>219671032</v>
      </c>
      <c r="G50" s="26"/>
    </row>
    <row r="51" spans="1:7" x14ac:dyDescent="0.2">
      <c r="A51" s="2">
        <v>49</v>
      </c>
      <c r="B51" s="3">
        <v>46092</v>
      </c>
      <c r="C51" s="9" t="s">
        <v>65</v>
      </c>
      <c r="D51" s="6"/>
      <c r="E51" s="11">
        <v>150100</v>
      </c>
      <c r="F51" s="6">
        <f t="shared" si="0"/>
        <v>219520932</v>
      </c>
      <c r="G51" s="26"/>
    </row>
    <row r="52" spans="1:7" x14ac:dyDescent="0.2">
      <c r="A52" s="2">
        <v>50</v>
      </c>
      <c r="B52" s="3">
        <v>46092</v>
      </c>
      <c r="C52" s="9" t="s">
        <v>45</v>
      </c>
      <c r="D52" s="6"/>
      <c r="E52" s="11">
        <v>1125000</v>
      </c>
      <c r="F52" s="6">
        <f t="shared" si="0"/>
        <v>218395932</v>
      </c>
      <c r="G52" s="26"/>
    </row>
    <row r="53" spans="1:7" x14ac:dyDescent="0.2">
      <c r="A53" s="2">
        <v>51</v>
      </c>
      <c r="B53" s="3">
        <v>46092</v>
      </c>
      <c r="C53" s="9" t="s">
        <v>66</v>
      </c>
      <c r="D53" s="6"/>
      <c r="E53" s="11">
        <v>5000000</v>
      </c>
      <c r="F53" s="6">
        <f t="shared" si="0"/>
        <v>213395932</v>
      </c>
      <c r="G53" s="26"/>
    </row>
    <row r="54" spans="1:7" x14ac:dyDescent="0.2">
      <c r="A54" s="2">
        <v>52</v>
      </c>
      <c r="B54" s="3">
        <v>46092</v>
      </c>
      <c r="C54" s="9" t="s">
        <v>67</v>
      </c>
      <c r="D54" s="6"/>
      <c r="E54" s="11">
        <v>11147000</v>
      </c>
      <c r="F54" s="6">
        <f t="shared" si="0"/>
        <v>202248932</v>
      </c>
      <c r="G54" s="26"/>
    </row>
    <row r="55" spans="1:7" x14ac:dyDescent="0.2">
      <c r="A55" s="2">
        <v>53</v>
      </c>
      <c r="B55" s="3">
        <v>46092</v>
      </c>
      <c r="C55" s="9" t="s">
        <v>68</v>
      </c>
      <c r="D55" s="6"/>
      <c r="E55" s="11">
        <v>12000000</v>
      </c>
      <c r="F55" s="6">
        <f t="shared" si="0"/>
        <v>190248932</v>
      </c>
      <c r="G55" s="26"/>
    </row>
    <row r="56" spans="1:7" x14ac:dyDescent="0.2">
      <c r="A56" s="2">
        <v>54</v>
      </c>
      <c r="B56" s="3">
        <v>46092</v>
      </c>
      <c r="C56" s="9" t="s">
        <v>69</v>
      </c>
      <c r="D56" s="6"/>
      <c r="E56" s="11">
        <v>2400000</v>
      </c>
      <c r="F56" s="6">
        <f t="shared" si="0"/>
        <v>187848932</v>
      </c>
      <c r="G56" s="7" t="s">
        <v>12</v>
      </c>
    </row>
    <row r="57" spans="1:7" x14ac:dyDescent="0.2">
      <c r="A57" s="2">
        <v>55</v>
      </c>
      <c r="B57" s="3">
        <v>46092</v>
      </c>
      <c r="C57" s="9" t="s">
        <v>69</v>
      </c>
      <c r="D57" s="6"/>
      <c r="E57" s="11">
        <v>2400000</v>
      </c>
      <c r="F57" s="6">
        <f t="shared" si="0"/>
        <v>185448932</v>
      </c>
      <c r="G57" s="7" t="s">
        <v>10</v>
      </c>
    </row>
    <row r="58" spans="1:7" x14ac:dyDescent="0.2">
      <c r="A58" s="2">
        <v>56</v>
      </c>
      <c r="B58" s="3">
        <v>46092</v>
      </c>
      <c r="C58" s="9" t="s">
        <v>70</v>
      </c>
      <c r="D58" s="6"/>
      <c r="E58" s="11">
        <v>56554000</v>
      </c>
      <c r="F58" s="6">
        <f t="shared" si="0"/>
        <v>128894932</v>
      </c>
      <c r="G58" s="7" t="s">
        <v>24</v>
      </c>
    </row>
    <row r="59" spans="1:7" x14ac:dyDescent="0.2">
      <c r="A59" s="2">
        <v>57</v>
      </c>
      <c r="B59" s="3">
        <v>46092</v>
      </c>
      <c r="C59" s="9" t="s">
        <v>69</v>
      </c>
      <c r="D59" s="6"/>
      <c r="E59" s="11">
        <v>2400000</v>
      </c>
      <c r="F59" s="6">
        <f t="shared" si="0"/>
        <v>126494932</v>
      </c>
      <c r="G59" s="7" t="s">
        <v>25</v>
      </c>
    </row>
    <row r="60" spans="1:7" x14ac:dyDescent="0.2">
      <c r="A60" s="2">
        <v>58</v>
      </c>
      <c r="B60" s="3">
        <v>46092</v>
      </c>
      <c r="C60" s="9" t="s">
        <v>69</v>
      </c>
      <c r="D60" s="6"/>
      <c r="E60" s="11">
        <v>2400000</v>
      </c>
      <c r="F60" s="6">
        <f t="shared" si="0"/>
        <v>124094932</v>
      </c>
      <c r="G60" s="7" t="s">
        <v>24</v>
      </c>
    </row>
    <row r="61" spans="1:7" x14ac:dyDescent="0.2">
      <c r="A61" s="2">
        <v>59</v>
      </c>
      <c r="B61" s="3">
        <v>46093</v>
      </c>
      <c r="C61" s="9" t="s">
        <v>71</v>
      </c>
      <c r="D61" s="6"/>
      <c r="E61" s="11">
        <v>100000</v>
      </c>
      <c r="F61" s="6">
        <f t="shared" si="0"/>
        <v>123994932</v>
      </c>
      <c r="G61" s="7" t="s">
        <v>42</v>
      </c>
    </row>
    <row r="62" spans="1:7" x14ac:dyDescent="0.2">
      <c r="A62" s="2">
        <v>60</v>
      </c>
      <c r="B62" s="3">
        <v>46093</v>
      </c>
      <c r="C62" s="9" t="s">
        <v>19</v>
      </c>
      <c r="D62" s="6"/>
      <c r="E62" s="11">
        <v>300000</v>
      </c>
      <c r="F62" s="6">
        <f t="shared" si="0"/>
        <v>123694932</v>
      </c>
      <c r="G62" s="27" t="s">
        <v>34</v>
      </c>
    </row>
    <row r="63" spans="1:7" x14ac:dyDescent="0.2">
      <c r="A63" s="2">
        <v>61</v>
      </c>
      <c r="B63" s="3">
        <v>46093</v>
      </c>
      <c r="C63" s="9" t="s">
        <v>72</v>
      </c>
      <c r="D63" s="6"/>
      <c r="E63" s="11">
        <v>1400000</v>
      </c>
      <c r="F63" s="6">
        <f t="shared" si="0"/>
        <v>122294932</v>
      </c>
      <c r="G63" s="26"/>
    </row>
    <row r="64" spans="1:7" x14ac:dyDescent="0.2">
      <c r="A64" s="2">
        <v>62</v>
      </c>
      <c r="B64" s="3">
        <v>46093</v>
      </c>
      <c r="C64" s="9" t="s">
        <v>73</v>
      </c>
      <c r="D64" s="6"/>
      <c r="E64" s="11">
        <v>500000</v>
      </c>
      <c r="F64" s="6">
        <f t="shared" si="0"/>
        <v>121794932</v>
      </c>
      <c r="G64" s="7" t="s">
        <v>25</v>
      </c>
    </row>
    <row r="65" spans="1:7" x14ac:dyDescent="0.2">
      <c r="A65" s="2">
        <v>63</v>
      </c>
      <c r="B65" s="3">
        <v>46093</v>
      </c>
      <c r="C65" s="9" t="s">
        <v>9</v>
      </c>
      <c r="D65" s="6"/>
      <c r="E65" s="11">
        <v>100000</v>
      </c>
      <c r="F65" s="6">
        <f t="shared" si="0"/>
        <v>121694932</v>
      </c>
      <c r="G65" s="7" t="s">
        <v>8</v>
      </c>
    </row>
    <row r="66" spans="1:7" x14ac:dyDescent="0.2">
      <c r="A66" s="2">
        <v>64</v>
      </c>
      <c r="B66" s="3">
        <v>46094</v>
      </c>
      <c r="C66" s="9" t="s">
        <v>23</v>
      </c>
      <c r="D66" s="6"/>
      <c r="E66" s="11">
        <v>400000</v>
      </c>
      <c r="F66" s="6">
        <f t="shared" si="0"/>
        <v>121294932</v>
      </c>
      <c r="G66" s="7" t="s">
        <v>30</v>
      </c>
    </row>
    <row r="67" spans="1:7" x14ac:dyDescent="0.2">
      <c r="A67" s="2">
        <v>65</v>
      </c>
      <c r="B67" s="3">
        <v>46094</v>
      </c>
      <c r="C67" s="9" t="s">
        <v>23</v>
      </c>
      <c r="D67" s="6"/>
      <c r="E67" s="11">
        <v>400000</v>
      </c>
      <c r="F67" s="6">
        <f t="shared" si="0"/>
        <v>120894932</v>
      </c>
      <c r="G67" s="7" t="s">
        <v>29</v>
      </c>
    </row>
    <row r="68" spans="1:7" x14ac:dyDescent="0.2">
      <c r="A68" s="2">
        <v>66</v>
      </c>
      <c r="B68" s="3">
        <v>46094</v>
      </c>
      <c r="C68" s="9" t="s">
        <v>18</v>
      </c>
      <c r="D68" s="6"/>
      <c r="E68" s="11">
        <v>1076000</v>
      </c>
      <c r="F68" s="6">
        <f t="shared" si="0"/>
        <v>119818932</v>
      </c>
      <c r="G68" s="27" t="s">
        <v>15</v>
      </c>
    </row>
    <row r="69" spans="1:7" x14ac:dyDescent="0.2">
      <c r="A69" s="2">
        <v>67</v>
      </c>
      <c r="B69" s="3">
        <v>46094</v>
      </c>
      <c r="C69" s="9" t="s">
        <v>74</v>
      </c>
      <c r="D69" s="6"/>
      <c r="E69" s="11">
        <v>8000000</v>
      </c>
      <c r="F69" s="6">
        <f t="shared" si="0"/>
        <v>111818932</v>
      </c>
      <c r="G69" s="26"/>
    </row>
    <row r="70" spans="1:7" x14ac:dyDescent="0.2">
      <c r="A70" s="2">
        <v>68</v>
      </c>
      <c r="B70" s="3">
        <v>46094</v>
      </c>
      <c r="C70" s="12" t="s">
        <v>39</v>
      </c>
      <c r="D70" s="13"/>
      <c r="E70" s="15">
        <v>1550000</v>
      </c>
      <c r="F70" s="6">
        <f t="shared" si="0"/>
        <v>110268932</v>
      </c>
      <c r="G70" s="26"/>
    </row>
    <row r="71" spans="1:7" x14ac:dyDescent="0.2">
      <c r="A71" s="2">
        <v>69</v>
      </c>
      <c r="B71" s="3">
        <v>46094</v>
      </c>
      <c r="C71" s="9" t="s">
        <v>11</v>
      </c>
      <c r="D71" s="6"/>
      <c r="E71" s="11">
        <v>200000</v>
      </c>
      <c r="F71" s="6">
        <f t="shared" si="0"/>
        <v>110068932</v>
      </c>
      <c r="G71" s="27" t="s">
        <v>26</v>
      </c>
    </row>
    <row r="72" spans="1:7" x14ac:dyDescent="0.2">
      <c r="A72" s="2">
        <v>70</v>
      </c>
      <c r="B72" s="3">
        <v>46094</v>
      </c>
      <c r="C72" s="9" t="s">
        <v>75</v>
      </c>
      <c r="D72" s="6"/>
      <c r="E72" s="11">
        <v>30000</v>
      </c>
      <c r="F72" s="6">
        <f t="shared" si="0"/>
        <v>110038932</v>
      </c>
      <c r="G72" s="26"/>
    </row>
    <row r="73" spans="1:7" x14ac:dyDescent="0.2">
      <c r="A73" s="2">
        <v>71</v>
      </c>
      <c r="B73" s="3">
        <v>46094</v>
      </c>
      <c r="C73" s="9" t="s">
        <v>28</v>
      </c>
      <c r="D73" s="6"/>
      <c r="E73" s="11">
        <v>600000</v>
      </c>
      <c r="F73" s="6">
        <f t="shared" si="0"/>
        <v>109438932</v>
      </c>
      <c r="G73" s="7" t="s">
        <v>41</v>
      </c>
    </row>
    <row r="74" spans="1:7" x14ac:dyDescent="0.2">
      <c r="A74" s="2">
        <v>72</v>
      </c>
      <c r="B74" s="3">
        <v>46094</v>
      </c>
      <c r="C74" s="9" t="s">
        <v>11</v>
      </c>
      <c r="D74" s="6"/>
      <c r="E74" s="11">
        <v>200000</v>
      </c>
      <c r="F74" s="6">
        <f t="shared" si="0"/>
        <v>109238932</v>
      </c>
      <c r="G74" s="7" t="s">
        <v>24</v>
      </c>
    </row>
    <row r="75" spans="1:7" x14ac:dyDescent="0.2">
      <c r="A75" s="2">
        <v>73</v>
      </c>
      <c r="B75" s="3">
        <v>46094</v>
      </c>
      <c r="C75" s="9" t="s">
        <v>9</v>
      </c>
      <c r="D75" s="6"/>
      <c r="E75" s="11">
        <v>100000</v>
      </c>
      <c r="F75" s="6">
        <f t="shared" si="0"/>
        <v>109138932</v>
      </c>
      <c r="G75" s="7" t="s">
        <v>34</v>
      </c>
    </row>
    <row r="76" spans="1:7" x14ac:dyDescent="0.2">
      <c r="A76" s="2">
        <v>74</v>
      </c>
      <c r="B76" s="3">
        <v>46095</v>
      </c>
      <c r="C76" s="9" t="s">
        <v>76</v>
      </c>
      <c r="D76" s="6"/>
      <c r="E76" s="11">
        <v>20000000</v>
      </c>
      <c r="F76" s="6">
        <f t="shared" si="0"/>
        <v>89138932</v>
      </c>
      <c r="G76" s="27" t="s">
        <v>15</v>
      </c>
    </row>
    <row r="77" spans="1:7" x14ac:dyDescent="0.2">
      <c r="A77" s="2">
        <v>75</v>
      </c>
      <c r="B77" s="3">
        <v>46095</v>
      </c>
      <c r="C77" s="9" t="s">
        <v>77</v>
      </c>
      <c r="D77" s="6"/>
      <c r="E77" s="11">
        <v>85000000</v>
      </c>
      <c r="F77" s="6">
        <f t="shared" si="0"/>
        <v>4138932</v>
      </c>
      <c r="G77" s="26"/>
    </row>
    <row r="78" spans="1:7" x14ac:dyDescent="0.2">
      <c r="A78" s="2">
        <v>76</v>
      </c>
      <c r="B78" s="3">
        <v>46095</v>
      </c>
      <c r="C78" s="9" t="s">
        <v>11</v>
      </c>
      <c r="D78" s="6"/>
      <c r="E78" s="11">
        <v>200000</v>
      </c>
      <c r="F78" s="6">
        <f t="shared" si="0"/>
        <v>3938932</v>
      </c>
      <c r="G78" s="7" t="s">
        <v>25</v>
      </c>
    </row>
    <row r="79" spans="1:7" x14ac:dyDescent="0.2">
      <c r="A79" s="2">
        <v>77</v>
      </c>
      <c r="B79" s="3">
        <v>46095</v>
      </c>
      <c r="C79" s="9" t="s">
        <v>28</v>
      </c>
      <c r="D79" s="16"/>
      <c r="E79" s="11">
        <v>600000</v>
      </c>
      <c r="F79" s="6">
        <f t="shared" si="0"/>
        <v>3338932</v>
      </c>
      <c r="G79" s="27" t="s">
        <v>15</v>
      </c>
    </row>
    <row r="80" spans="1:7" x14ac:dyDescent="0.2">
      <c r="A80" s="2">
        <v>78</v>
      </c>
      <c r="B80" s="3">
        <v>46095</v>
      </c>
      <c r="C80" s="9" t="s">
        <v>78</v>
      </c>
      <c r="D80" s="11"/>
      <c r="E80" s="11">
        <v>150000</v>
      </c>
      <c r="F80" s="6">
        <f t="shared" si="0"/>
        <v>3188932</v>
      </c>
      <c r="G80" s="26"/>
    </row>
    <row r="81" spans="1:7" x14ac:dyDescent="0.2">
      <c r="A81" s="2">
        <v>79</v>
      </c>
      <c r="B81" s="3">
        <v>46095</v>
      </c>
      <c r="C81" s="9" t="s">
        <v>13</v>
      </c>
      <c r="D81" s="16"/>
      <c r="E81" s="11">
        <v>100000</v>
      </c>
      <c r="F81" s="6">
        <f t="shared" si="0"/>
        <v>3088932</v>
      </c>
      <c r="G81" s="26"/>
    </row>
    <row r="82" spans="1:7" x14ac:dyDescent="0.2">
      <c r="A82" s="2">
        <v>80</v>
      </c>
      <c r="B82" s="3">
        <v>46095</v>
      </c>
      <c r="C82" s="9" t="s">
        <v>63</v>
      </c>
      <c r="D82" s="16"/>
      <c r="E82" s="11">
        <v>15000</v>
      </c>
      <c r="F82" s="6">
        <f t="shared" si="0"/>
        <v>3073932</v>
      </c>
      <c r="G82" s="26"/>
    </row>
    <row r="83" spans="1:7" x14ac:dyDescent="0.2">
      <c r="A83" s="2">
        <v>81</v>
      </c>
      <c r="B83" s="3">
        <v>46095</v>
      </c>
      <c r="C83" s="9" t="s">
        <v>79</v>
      </c>
      <c r="D83" s="16"/>
      <c r="E83" s="11">
        <v>138000</v>
      </c>
      <c r="F83" s="6">
        <f t="shared" si="0"/>
        <v>2935932</v>
      </c>
      <c r="G83" s="26"/>
    </row>
    <row r="84" spans="1:7" x14ac:dyDescent="0.2">
      <c r="A84" s="2">
        <v>82</v>
      </c>
      <c r="B84" s="3">
        <v>46095</v>
      </c>
      <c r="C84" s="9" t="s">
        <v>11</v>
      </c>
      <c r="D84" s="16"/>
      <c r="E84" s="11">
        <v>200000</v>
      </c>
      <c r="F84" s="6">
        <f t="shared" si="0"/>
        <v>2735932</v>
      </c>
      <c r="G84" s="7" t="s">
        <v>80</v>
      </c>
    </row>
    <row r="85" spans="1:7" x14ac:dyDescent="0.2">
      <c r="A85" s="2">
        <v>83</v>
      </c>
      <c r="B85" s="3">
        <v>46095</v>
      </c>
      <c r="C85" s="9" t="s">
        <v>81</v>
      </c>
      <c r="D85" s="11"/>
      <c r="E85" s="11">
        <v>48000</v>
      </c>
      <c r="F85" s="6">
        <f t="shared" si="0"/>
        <v>2687932</v>
      </c>
      <c r="G85" s="27" t="s">
        <v>10</v>
      </c>
    </row>
    <row r="86" spans="1:7" x14ac:dyDescent="0.2">
      <c r="A86" s="2">
        <v>84</v>
      </c>
      <c r="B86" s="3">
        <v>46095</v>
      </c>
      <c r="C86" s="9" t="s">
        <v>13</v>
      </c>
      <c r="D86" s="16"/>
      <c r="E86" s="11">
        <v>200000</v>
      </c>
      <c r="F86" s="6">
        <f t="shared" si="0"/>
        <v>2487932</v>
      </c>
      <c r="G86" s="26"/>
    </row>
    <row r="87" spans="1:7" x14ac:dyDescent="0.2">
      <c r="A87" s="2">
        <v>85</v>
      </c>
      <c r="B87" s="3">
        <v>46095</v>
      </c>
      <c r="C87" s="9" t="s">
        <v>78</v>
      </c>
      <c r="D87" s="6"/>
      <c r="E87" s="11">
        <v>250000</v>
      </c>
      <c r="F87" s="6">
        <f t="shared" si="0"/>
        <v>2237932</v>
      </c>
      <c r="G87" s="26"/>
    </row>
    <row r="88" spans="1:7" x14ac:dyDescent="0.2">
      <c r="A88" s="2">
        <v>86</v>
      </c>
      <c r="B88" s="3">
        <v>46095</v>
      </c>
      <c r="C88" s="9" t="s">
        <v>73</v>
      </c>
      <c r="D88" s="16"/>
      <c r="E88" s="11">
        <v>146500</v>
      </c>
      <c r="F88" s="6">
        <f t="shared" si="0"/>
        <v>2091432</v>
      </c>
      <c r="G88" s="26"/>
    </row>
    <row r="89" spans="1:7" x14ac:dyDescent="0.2">
      <c r="A89" s="2">
        <v>87</v>
      </c>
      <c r="B89" s="3">
        <v>46095</v>
      </c>
      <c r="C89" s="9" t="s">
        <v>9</v>
      </c>
      <c r="D89" s="16"/>
      <c r="E89" s="11">
        <v>100000</v>
      </c>
      <c r="F89" s="6">
        <f t="shared" si="0"/>
        <v>1991432</v>
      </c>
      <c r="G89" s="26"/>
    </row>
    <row r="90" spans="1:7" x14ac:dyDescent="0.2">
      <c r="A90" s="2">
        <v>88</v>
      </c>
      <c r="B90" s="3">
        <v>46095</v>
      </c>
      <c r="C90" s="9" t="s">
        <v>21</v>
      </c>
      <c r="D90" s="16"/>
      <c r="E90" s="11">
        <v>800000</v>
      </c>
      <c r="F90" s="6">
        <f t="shared" si="0"/>
        <v>1191432</v>
      </c>
      <c r="G90" s="7" t="s">
        <v>42</v>
      </c>
    </row>
    <row r="91" spans="1:7" x14ac:dyDescent="0.2">
      <c r="A91" s="2">
        <v>89</v>
      </c>
      <c r="B91" s="3">
        <v>46095</v>
      </c>
      <c r="C91" s="4" t="s">
        <v>7</v>
      </c>
      <c r="D91" s="5">
        <v>70000000</v>
      </c>
      <c r="E91" s="5"/>
      <c r="F91" s="6">
        <f t="shared" si="0"/>
        <v>71191432</v>
      </c>
      <c r="G91" s="7"/>
    </row>
    <row r="92" spans="1:7" x14ac:dyDescent="0.2">
      <c r="A92" s="2">
        <v>90</v>
      </c>
      <c r="B92" s="3">
        <v>46096</v>
      </c>
      <c r="C92" s="9" t="s">
        <v>78</v>
      </c>
      <c r="D92" s="16"/>
      <c r="E92" s="11">
        <v>110000</v>
      </c>
      <c r="F92" s="6">
        <f t="shared" si="0"/>
        <v>71081432</v>
      </c>
      <c r="G92" s="27" t="s">
        <v>10</v>
      </c>
    </row>
    <row r="93" spans="1:7" x14ac:dyDescent="0.2">
      <c r="A93" s="2">
        <v>91</v>
      </c>
      <c r="B93" s="3">
        <v>46096</v>
      </c>
      <c r="C93" s="9" t="s">
        <v>82</v>
      </c>
      <c r="D93" s="6"/>
      <c r="E93" s="11">
        <v>40000</v>
      </c>
      <c r="F93" s="6">
        <f t="shared" si="0"/>
        <v>71041432</v>
      </c>
      <c r="G93" s="26"/>
    </row>
    <row r="94" spans="1:7" x14ac:dyDescent="0.2">
      <c r="A94" s="2">
        <v>92</v>
      </c>
      <c r="B94" s="3">
        <v>46096</v>
      </c>
      <c r="C94" s="9" t="s">
        <v>9</v>
      </c>
      <c r="D94" s="16"/>
      <c r="E94" s="11">
        <v>100000</v>
      </c>
      <c r="F94" s="6">
        <f t="shared" si="0"/>
        <v>70941432</v>
      </c>
      <c r="G94" s="26"/>
    </row>
    <row r="95" spans="1:7" x14ac:dyDescent="0.2">
      <c r="A95" s="2">
        <v>93</v>
      </c>
      <c r="B95" s="3">
        <v>46096</v>
      </c>
      <c r="C95" s="9" t="s">
        <v>56</v>
      </c>
      <c r="D95" s="16"/>
      <c r="E95" s="11">
        <v>200000</v>
      </c>
      <c r="F95" s="6">
        <f t="shared" si="0"/>
        <v>70741432</v>
      </c>
      <c r="G95" s="26"/>
    </row>
    <row r="96" spans="1:7" x14ac:dyDescent="0.2">
      <c r="A96" s="2">
        <v>94</v>
      </c>
      <c r="B96" s="3">
        <v>46097</v>
      </c>
      <c r="C96" s="9" t="s">
        <v>13</v>
      </c>
      <c r="D96" s="16"/>
      <c r="E96" s="11">
        <v>200000</v>
      </c>
      <c r="F96" s="6">
        <f t="shared" si="0"/>
        <v>70541432</v>
      </c>
      <c r="G96" s="26"/>
    </row>
    <row r="97" spans="1:7" x14ac:dyDescent="0.2">
      <c r="A97" s="2">
        <v>95</v>
      </c>
      <c r="B97" s="3">
        <v>46097</v>
      </c>
      <c r="C97" s="9" t="s">
        <v>78</v>
      </c>
      <c r="D97" s="16"/>
      <c r="E97" s="11">
        <v>200000</v>
      </c>
      <c r="F97" s="6">
        <f t="shared" si="0"/>
        <v>70341432</v>
      </c>
      <c r="G97" s="26"/>
    </row>
    <row r="98" spans="1:7" x14ac:dyDescent="0.2">
      <c r="A98" s="2">
        <v>96</v>
      </c>
      <c r="B98" s="3">
        <v>46097</v>
      </c>
      <c r="C98" s="9" t="s">
        <v>83</v>
      </c>
      <c r="D98" s="16"/>
      <c r="E98" s="11">
        <v>70000</v>
      </c>
      <c r="F98" s="6">
        <f t="shared" si="0"/>
        <v>70271432</v>
      </c>
      <c r="G98" s="26"/>
    </row>
    <row r="99" spans="1:7" x14ac:dyDescent="0.2">
      <c r="A99" s="2">
        <v>97</v>
      </c>
      <c r="B99" s="3">
        <v>46097</v>
      </c>
      <c r="C99" s="9" t="s">
        <v>84</v>
      </c>
      <c r="D99" s="16"/>
      <c r="E99" s="11">
        <v>200000</v>
      </c>
      <c r="F99" s="6">
        <f t="shared" si="0"/>
        <v>70071432</v>
      </c>
      <c r="G99" s="26"/>
    </row>
    <row r="100" spans="1:7" x14ac:dyDescent="0.2">
      <c r="A100" s="2">
        <v>98</v>
      </c>
      <c r="B100" s="3">
        <v>46098</v>
      </c>
      <c r="C100" s="9" t="s">
        <v>35</v>
      </c>
      <c r="D100" s="16"/>
      <c r="E100" s="11">
        <v>50000</v>
      </c>
      <c r="F100" s="6">
        <f t="shared" si="0"/>
        <v>70021432</v>
      </c>
      <c r="G100" s="7" t="s">
        <v>24</v>
      </c>
    </row>
    <row r="101" spans="1:7" x14ac:dyDescent="0.2">
      <c r="A101" s="2">
        <v>99</v>
      </c>
      <c r="B101" s="3">
        <v>46098</v>
      </c>
      <c r="C101" s="9" t="s">
        <v>85</v>
      </c>
      <c r="D101" s="16"/>
      <c r="E101" s="11">
        <v>300000</v>
      </c>
      <c r="F101" s="6">
        <f t="shared" si="0"/>
        <v>69721432</v>
      </c>
      <c r="G101" s="27" t="s">
        <v>12</v>
      </c>
    </row>
    <row r="102" spans="1:7" x14ac:dyDescent="0.2">
      <c r="A102" s="2">
        <v>100</v>
      </c>
      <c r="B102" s="3">
        <v>46098</v>
      </c>
      <c r="C102" s="9" t="s">
        <v>86</v>
      </c>
      <c r="D102" s="16"/>
      <c r="E102" s="11">
        <v>100000</v>
      </c>
      <c r="F102" s="6">
        <f t="shared" si="0"/>
        <v>69621432</v>
      </c>
      <c r="G102" s="26"/>
    </row>
    <row r="103" spans="1:7" x14ac:dyDescent="0.2">
      <c r="A103" s="2">
        <v>101</v>
      </c>
      <c r="B103" s="3">
        <v>46098</v>
      </c>
      <c r="C103" s="9" t="s">
        <v>11</v>
      </c>
      <c r="D103" s="16"/>
      <c r="E103" s="11">
        <v>200000</v>
      </c>
      <c r="F103" s="6">
        <f t="shared" si="0"/>
        <v>69421432</v>
      </c>
      <c r="G103" s="26"/>
    </row>
    <row r="104" spans="1:7" x14ac:dyDescent="0.2">
      <c r="A104" s="2">
        <v>102</v>
      </c>
      <c r="B104" s="3">
        <v>46098</v>
      </c>
      <c r="C104" s="9" t="s">
        <v>23</v>
      </c>
      <c r="D104" s="16"/>
      <c r="E104" s="11">
        <v>400000</v>
      </c>
      <c r="F104" s="6">
        <f t="shared" si="0"/>
        <v>69021432</v>
      </c>
      <c r="G104" s="7" t="s">
        <v>25</v>
      </c>
    </row>
    <row r="105" spans="1:7" x14ac:dyDescent="0.2">
      <c r="A105" s="2">
        <v>103</v>
      </c>
      <c r="B105" s="3">
        <v>46100</v>
      </c>
      <c r="C105" s="9" t="s">
        <v>9</v>
      </c>
      <c r="D105" s="16"/>
      <c r="E105" s="11">
        <v>100000</v>
      </c>
      <c r="F105" s="6">
        <f t="shared" si="0"/>
        <v>68921432</v>
      </c>
      <c r="G105" s="27" t="s">
        <v>8</v>
      </c>
    </row>
    <row r="106" spans="1:7" x14ac:dyDescent="0.2">
      <c r="A106" s="2">
        <v>104</v>
      </c>
      <c r="B106" s="3">
        <v>46105</v>
      </c>
      <c r="C106" s="9" t="s">
        <v>11</v>
      </c>
      <c r="D106" s="11"/>
      <c r="E106" s="11">
        <v>200000</v>
      </c>
      <c r="F106" s="6">
        <f t="shared" si="0"/>
        <v>68721432</v>
      </c>
      <c r="G106" s="26"/>
    </row>
    <row r="107" spans="1:7" x14ac:dyDescent="0.2">
      <c r="A107" s="2">
        <v>105</v>
      </c>
      <c r="B107" s="3">
        <v>46106</v>
      </c>
      <c r="C107" s="9" t="s">
        <v>27</v>
      </c>
      <c r="D107" s="16"/>
      <c r="E107" s="11">
        <v>500000</v>
      </c>
      <c r="F107" s="6">
        <f t="shared" si="0"/>
        <v>68221432</v>
      </c>
      <c r="G107" s="27" t="s">
        <v>15</v>
      </c>
    </row>
    <row r="108" spans="1:7" x14ac:dyDescent="0.2">
      <c r="A108" s="2">
        <v>106</v>
      </c>
      <c r="B108" s="3">
        <v>46106</v>
      </c>
      <c r="C108" s="9" t="s">
        <v>22</v>
      </c>
      <c r="D108" s="16"/>
      <c r="E108" s="11">
        <v>86000</v>
      </c>
      <c r="F108" s="6">
        <f t="shared" si="0"/>
        <v>68135432</v>
      </c>
      <c r="G108" s="26"/>
    </row>
    <row r="109" spans="1:7" x14ac:dyDescent="0.2">
      <c r="A109" s="2">
        <v>107</v>
      </c>
      <c r="B109" s="3">
        <v>46106</v>
      </c>
      <c r="C109" s="9" t="s">
        <v>16</v>
      </c>
      <c r="D109" s="6"/>
      <c r="E109" s="11">
        <v>508500</v>
      </c>
      <c r="F109" s="6">
        <f t="shared" si="0"/>
        <v>67626932</v>
      </c>
      <c r="G109" s="26"/>
    </row>
    <row r="110" spans="1:7" x14ac:dyDescent="0.2">
      <c r="A110" s="2">
        <v>108</v>
      </c>
      <c r="B110" s="3">
        <v>46106</v>
      </c>
      <c r="C110" s="9" t="s">
        <v>87</v>
      </c>
      <c r="D110" s="6"/>
      <c r="E110" s="11">
        <v>335000</v>
      </c>
      <c r="F110" s="6">
        <f t="shared" si="0"/>
        <v>67291932</v>
      </c>
      <c r="G110" s="26"/>
    </row>
    <row r="111" spans="1:7" x14ac:dyDescent="0.2">
      <c r="A111" s="2">
        <v>109</v>
      </c>
      <c r="B111" s="3">
        <v>46106</v>
      </c>
      <c r="C111" s="18" t="s">
        <v>88</v>
      </c>
      <c r="D111" s="16"/>
      <c r="E111" s="11">
        <v>950000</v>
      </c>
      <c r="F111" s="6">
        <f t="shared" si="0"/>
        <v>66341932</v>
      </c>
      <c r="G111" s="26"/>
    </row>
    <row r="112" spans="1:7" x14ac:dyDescent="0.2">
      <c r="A112" s="2">
        <v>110</v>
      </c>
      <c r="B112" s="3">
        <v>46106</v>
      </c>
      <c r="C112" s="18" t="s">
        <v>89</v>
      </c>
      <c r="D112" s="16"/>
      <c r="E112" s="11">
        <v>5000000</v>
      </c>
      <c r="F112" s="6">
        <f t="shared" si="0"/>
        <v>61341932</v>
      </c>
      <c r="G112" s="26"/>
    </row>
    <row r="113" spans="1:7" x14ac:dyDescent="0.2">
      <c r="A113" s="2">
        <v>111</v>
      </c>
      <c r="B113" s="3">
        <v>46106</v>
      </c>
      <c r="C113" s="18" t="s">
        <v>18</v>
      </c>
      <c r="D113" s="16"/>
      <c r="E113" s="11">
        <v>629000</v>
      </c>
      <c r="F113" s="6">
        <f t="shared" si="0"/>
        <v>60712932</v>
      </c>
      <c r="G113" s="26"/>
    </row>
    <row r="114" spans="1:7" x14ac:dyDescent="0.2">
      <c r="A114" s="2">
        <v>112</v>
      </c>
      <c r="B114" s="3">
        <v>46106</v>
      </c>
      <c r="C114" s="18" t="s">
        <v>90</v>
      </c>
      <c r="D114" s="16"/>
      <c r="E114" s="11">
        <v>5000000</v>
      </c>
      <c r="F114" s="6">
        <f t="shared" si="0"/>
        <v>55712932</v>
      </c>
      <c r="G114" s="26"/>
    </row>
    <row r="115" spans="1:7" x14ac:dyDescent="0.2">
      <c r="A115" s="2">
        <v>113</v>
      </c>
      <c r="B115" s="3">
        <v>46106</v>
      </c>
      <c r="C115" s="18" t="s">
        <v>91</v>
      </c>
      <c r="D115" s="16"/>
      <c r="E115" s="11">
        <v>12329970</v>
      </c>
      <c r="F115" s="6">
        <f t="shared" si="0"/>
        <v>43382962</v>
      </c>
      <c r="G115" s="26"/>
    </row>
    <row r="116" spans="1:7" x14ac:dyDescent="0.2">
      <c r="A116" s="2">
        <v>114</v>
      </c>
      <c r="B116" s="3">
        <v>46106</v>
      </c>
      <c r="C116" s="18" t="s">
        <v>92</v>
      </c>
      <c r="D116" s="11"/>
      <c r="E116" s="11">
        <v>5000000</v>
      </c>
      <c r="F116" s="6">
        <f t="shared" si="0"/>
        <v>38382962</v>
      </c>
      <c r="G116" s="26"/>
    </row>
    <row r="117" spans="1:7" x14ac:dyDescent="0.2">
      <c r="A117" s="2">
        <v>115</v>
      </c>
      <c r="B117" s="3">
        <v>46106</v>
      </c>
      <c r="C117" s="19" t="s">
        <v>93</v>
      </c>
      <c r="D117" s="17"/>
      <c r="E117" s="15">
        <v>1250000</v>
      </c>
      <c r="F117" s="6">
        <f t="shared" si="0"/>
        <v>37132962</v>
      </c>
      <c r="G117" s="26"/>
    </row>
    <row r="118" spans="1:7" x14ac:dyDescent="0.2">
      <c r="A118" s="2">
        <v>116</v>
      </c>
      <c r="B118" s="3">
        <v>46106</v>
      </c>
      <c r="C118" s="18" t="s">
        <v>18</v>
      </c>
      <c r="D118" s="16"/>
      <c r="E118" s="11">
        <v>1124000</v>
      </c>
      <c r="F118" s="6">
        <f t="shared" si="0"/>
        <v>36008962</v>
      </c>
      <c r="G118" s="26"/>
    </row>
    <row r="119" spans="1:7" x14ac:dyDescent="0.2">
      <c r="A119" s="2">
        <v>117</v>
      </c>
      <c r="B119" s="3">
        <v>46109</v>
      </c>
      <c r="C119" s="18" t="s">
        <v>94</v>
      </c>
      <c r="D119" s="16"/>
      <c r="E119" s="11">
        <v>100000</v>
      </c>
      <c r="F119" s="6">
        <f t="shared" si="0"/>
        <v>35908962</v>
      </c>
      <c r="G119" s="27" t="s">
        <v>10</v>
      </c>
    </row>
    <row r="120" spans="1:7" x14ac:dyDescent="0.2">
      <c r="A120" s="2">
        <v>118</v>
      </c>
      <c r="B120" s="3">
        <v>46109</v>
      </c>
      <c r="C120" s="18" t="s">
        <v>11</v>
      </c>
      <c r="D120" s="16"/>
      <c r="E120" s="11">
        <v>200000</v>
      </c>
      <c r="F120" s="6">
        <f t="shared" si="0"/>
        <v>35708962</v>
      </c>
      <c r="G120" s="26"/>
    </row>
    <row r="121" spans="1:7" x14ac:dyDescent="0.2">
      <c r="A121" s="2">
        <v>119</v>
      </c>
      <c r="B121" s="3">
        <v>46111</v>
      </c>
      <c r="C121" s="18" t="s">
        <v>9</v>
      </c>
      <c r="D121" s="16"/>
      <c r="E121" s="11">
        <v>100000</v>
      </c>
      <c r="F121" s="6">
        <f t="shared" si="0"/>
        <v>35608962</v>
      </c>
      <c r="G121" s="7" t="s">
        <v>80</v>
      </c>
    </row>
    <row r="122" spans="1:7" x14ac:dyDescent="0.2">
      <c r="A122" s="2">
        <v>120</v>
      </c>
      <c r="B122" s="3">
        <v>46111</v>
      </c>
      <c r="C122" s="18" t="s">
        <v>27</v>
      </c>
      <c r="D122" s="16"/>
      <c r="E122" s="11">
        <v>500000</v>
      </c>
      <c r="F122" s="6">
        <f t="shared" si="0"/>
        <v>35108962</v>
      </c>
      <c r="G122" s="27" t="s">
        <v>12</v>
      </c>
    </row>
    <row r="123" spans="1:7" x14ac:dyDescent="0.2">
      <c r="A123" s="2">
        <v>121</v>
      </c>
      <c r="B123" s="3">
        <v>46111</v>
      </c>
      <c r="C123" s="18" t="s">
        <v>95</v>
      </c>
      <c r="D123" s="16"/>
      <c r="E123" s="11">
        <v>100000</v>
      </c>
      <c r="F123" s="6">
        <f t="shared" si="0"/>
        <v>35008962</v>
      </c>
      <c r="G123" s="26"/>
    </row>
    <row r="124" spans="1:7" x14ac:dyDescent="0.2">
      <c r="A124" s="2">
        <v>122</v>
      </c>
      <c r="B124" s="3">
        <v>46111</v>
      </c>
      <c r="C124" s="18" t="s">
        <v>96</v>
      </c>
      <c r="D124" s="16"/>
      <c r="E124" s="11">
        <v>200000</v>
      </c>
      <c r="F124" s="6">
        <f t="shared" si="0"/>
        <v>34808962</v>
      </c>
      <c r="G124" s="27" t="s">
        <v>25</v>
      </c>
    </row>
    <row r="125" spans="1:7" x14ac:dyDescent="0.2">
      <c r="A125" s="2">
        <v>123</v>
      </c>
      <c r="B125" s="3">
        <v>46111</v>
      </c>
      <c r="C125" s="18" t="s">
        <v>13</v>
      </c>
      <c r="D125" s="16"/>
      <c r="E125" s="11">
        <v>400000</v>
      </c>
      <c r="F125" s="6">
        <f t="shared" si="0"/>
        <v>34408962</v>
      </c>
      <c r="G125" s="26"/>
    </row>
    <row r="126" spans="1:7" x14ac:dyDescent="0.2">
      <c r="A126" s="2">
        <v>124</v>
      </c>
      <c r="B126" s="3">
        <v>46111</v>
      </c>
      <c r="C126" s="18" t="s">
        <v>78</v>
      </c>
      <c r="D126" s="16"/>
      <c r="E126" s="11">
        <v>850000</v>
      </c>
      <c r="F126" s="6">
        <f t="shared" si="0"/>
        <v>33558962</v>
      </c>
      <c r="G126" s="26"/>
    </row>
    <row r="127" spans="1:7" x14ac:dyDescent="0.2">
      <c r="A127" s="2">
        <v>125</v>
      </c>
      <c r="B127" s="3">
        <v>46111</v>
      </c>
      <c r="C127" s="18" t="s">
        <v>27</v>
      </c>
      <c r="D127" s="16"/>
      <c r="E127" s="11">
        <v>500000</v>
      </c>
      <c r="F127" s="6">
        <f t="shared" si="0"/>
        <v>33058962</v>
      </c>
      <c r="G127" s="7" t="s">
        <v>34</v>
      </c>
    </row>
    <row r="128" spans="1:7" x14ac:dyDescent="0.2">
      <c r="A128" s="2">
        <v>126</v>
      </c>
      <c r="B128" s="3">
        <v>46111</v>
      </c>
      <c r="C128" s="18" t="s">
        <v>56</v>
      </c>
      <c r="D128" s="16"/>
      <c r="E128" s="6">
        <v>200000</v>
      </c>
      <c r="F128" s="6">
        <f t="shared" si="0"/>
        <v>32858962</v>
      </c>
      <c r="G128" s="27" t="s">
        <v>10</v>
      </c>
    </row>
    <row r="129" spans="1:7" x14ac:dyDescent="0.2">
      <c r="A129" s="2">
        <v>127</v>
      </c>
      <c r="B129" s="3">
        <v>46111</v>
      </c>
      <c r="C129" s="18" t="s">
        <v>13</v>
      </c>
      <c r="D129" s="16"/>
      <c r="E129" s="6">
        <v>100000</v>
      </c>
      <c r="F129" s="6">
        <f t="shared" si="0"/>
        <v>32758962</v>
      </c>
      <c r="G129" s="26"/>
    </row>
    <row r="130" spans="1:7" x14ac:dyDescent="0.2">
      <c r="A130" s="2">
        <v>128</v>
      </c>
      <c r="B130" s="3">
        <v>46111</v>
      </c>
      <c r="C130" s="18" t="s">
        <v>97</v>
      </c>
      <c r="D130" s="16"/>
      <c r="E130" s="6">
        <v>80000</v>
      </c>
      <c r="F130" s="6">
        <f t="shared" si="0"/>
        <v>32678962</v>
      </c>
      <c r="G130" s="26"/>
    </row>
    <row r="131" spans="1:7" x14ac:dyDescent="0.2">
      <c r="A131" s="2">
        <v>129</v>
      </c>
      <c r="B131" s="3">
        <v>46111</v>
      </c>
      <c r="C131" s="18" t="s">
        <v>11</v>
      </c>
      <c r="D131" s="11"/>
      <c r="E131" s="6">
        <v>200000</v>
      </c>
      <c r="F131" s="6">
        <f t="shared" si="0"/>
        <v>32478962</v>
      </c>
      <c r="G131" s="26"/>
    </row>
    <row r="132" spans="1:7" x14ac:dyDescent="0.2">
      <c r="A132" s="2">
        <v>130</v>
      </c>
      <c r="B132" s="3">
        <v>46111</v>
      </c>
      <c r="C132" s="18" t="s">
        <v>23</v>
      </c>
      <c r="D132" s="16"/>
      <c r="E132" s="6">
        <v>400000</v>
      </c>
      <c r="F132" s="6">
        <f t="shared" si="0"/>
        <v>32078962</v>
      </c>
      <c r="G132" s="7" t="s">
        <v>42</v>
      </c>
    </row>
    <row r="133" spans="1:7" x14ac:dyDescent="0.2">
      <c r="A133" s="2">
        <v>131</v>
      </c>
      <c r="B133" s="3">
        <v>46112</v>
      </c>
      <c r="C133" s="18" t="s">
        <v>98</v>
      </c>
      <c r="D133" s="16"/>
      <c r="E133" s="6">
        <v>2975996</v>
      </c>
      <c r="F133" s="6">
        <f t="shared" si="0"/>
        <v>29102966</v>
      </c>
      <c r="G133" s="27" t="s">
        <v>15</v>
      </c>
    </row>
    <row r="134" spans="1:7" x14ac:dyDescent="0.2">
      <c r="A134" s="2">
        <v>132</v>
      </c>
      <c r="B134" s="3">
        <v>46112</v>
      </c>
      <c r="C134" s="18" t="s">
        <v>99</v>
      </c>
      <c r="D134" s="16"/>
      <c r="E134" s="6">
        <v>22750000</v>
      </c>
      <c r="F134" s="6">
        <f t="shared" si="0"/>
        <v>6352966</v>
      </c>
      <c r="G134" s="26"/>
    </row>
    <row r="135" spans="1:7" x14ac:dyDescent="0.2">
      <c r="A135" s="2">
        <v>133</v>
      </c>
      <c r="B135" s="3">
        <v>46112</v>
      </c>
      <c r="C135" s="18" t="s">
        <v>43</v>
      </c>
      <c r="D135" s="16"/>
      <c r="E135" s="6">
        <v>1809000</v>
      </c>
      <c r="F135" s="6">
        <f t="shared" si="0"/>
        <v>4543966</v>
      </c>
      <c r="G135" s="26"/>
    </row>
    <row r="136" spans="1:7" x14ac:dyDescent="0.2">
      <c r="A136" s="2">
        <v>134</v>
      </c>
      <c r="B136" s="3">
        <v>46112</v>
      </c>
      <c r="C136" s="18" t="s">
        <v>100</v>
      </c>
      <c r="D136" s="16"/>
      <c r="E136" s="6">
        <v>84000</v>
      </c>
      <c r="F136" s="6">
        <f t="shared" si="0"/>
        <v>4459966</v>
      </c>
      <c r="G136" s="26"/>
    </row>
    <row r="137" spans="1:7" x14ac:dyDescent="0.2">
      <c r="A137" s="2">
        <v>135</v>
      </c>
      <c r="B137" s="3">
        <v>46112</v>
      </c>
      <c r="C137" s="18" t="s">
        <v>37</v>
      </c>
      <c r="D137" s="16"/>
      <c r="E137" s="6">
        <v>93500</v>
      </c>
      <c r="F137" s="6">
        <f t="shared" si="0"/>
        <v>4366466</v>
      </c>
      <c r="G137" s="26"/>
    </row>
    <row r="138" spans="1:7" x14ac:dyDescent="0.2">
      <c r="A138" s="2">
        <v>136</v>
      </c>
      <c r="B138" s="3">
        <v>46112</v>
      </c>
      <c r="C138" s="18" t="s">
        <v>9</v>
      </c>
      <c r="D138" s="16"/>
      <c r="E138" s="6">
        <v>100000</v>
      </c>
      <c r="F138" s="6">
        <f t="shared" si="0"/>
        <v>4266466</v>
      </c>
      <c r="G138" s="7" t="s">
        <v>80</v>
      </c>
    </row>
    <row r="139" spans="1:7" x14ac:dyDescent="0.2">
      <c r="A139" s="2"/>
      <c r="B139" s="2"/>
      <c r="C139" s="20" t="s">
        <v>31</v>
      </c>
      <c r="D139" s="21">
        <f t="shared" ref="D139:E139" si="1">SUM(D2:D138)</f>
        <v>382679325</v>
      </c>
      <c r="E139" s="21">
        <f t="shared" si="1"/>
        <v>378412859</v>
      </c>
      <c r="F139" s="2"/>
      <c r="G139" s="22"/>
    </row>
    <row r="140" spans="1:7" x14ac:dyDescent="0.2">
      <c r="A140" s="2"/>
      <c r="B140" s="2"/>
      <c r="C140" s="20" t="s">
        <v>32</v>
      </c>
      <c r="D140" s="2"/>
      <c r="E140" s="2"/>
      <c r="F140" s="21">
        <f>D139-E139</f>
        <v>4266466</v>
      </c>
      <c r="G140" s="22"/>
    </row>
  </sheetData>
  <mergeCells count="22">
    <mergeCell ref="G119:G120"/>
    <mergeCell ref="G122:G123"/>
    <mergeCell ref="G124:G126"/>
    <mergeCell ref="G128:G131"/>
    <mergeCell ref="G133:G137"/>
    <mergeCell ref="G35:G36"/>
    <mergeCell ref="G39:G55"/>
    <mergeCell ref="G101:G103"/>
    <mergeCell ref="G105:G106"/>
    <mergeCell ref="G107:G118"/>
    <mergeCell ref="G62:G63"/>
    <mergeCell ref="G68:G70"/>
    <mergeCell ref="G71:G72"/>
    <mergeCell ref="G76:G77"/>
    <mergeCell ref="G79:G83"/>
    <mergeCell ref="G85:G89"/>
    <mergeCell ref="G92:G99"/>
    <mergeCell ref="A1:G1"/>
    <mergeCell ref="G7:G19"/>
    <mergeCell ref="G21:G24"/>
    <mergeCell ref="G25:G27"/>
    <mergeCell ref="G31:G33"/>
  </mergeCells>
  <printOptions horizontalCentered="1" gridLines="1"/>
  <pageMargins left="0.7" right="0.7" top="0.75" bottom="0.75" header="0" footer="0"/>
  <pageSetup paperSize="9" fitToHeight="0" pageOrder="overThenDown" orientation="landscape" cellComments="atEnd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MARET 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Nanda Afriansyah</cp:lastModifiedBy>
  <dcterms:modified xsi:type="dcterms:W3CDTF">2026-05-08T07:47:49Z</dcterms:modified>
</cp:coreProperties>
</file>